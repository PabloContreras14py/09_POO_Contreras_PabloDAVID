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b-05\Desktop\"/>
    </mc:Choice>
  </mc:AlternateContent>
  <xr:revisionPtr revIDLastSave="0" documentId="8_{456A2CBC-6434-4178-8392-22FD91FF16A1}" xr6:coauthVersionLast="47" xr6:coauthVersionMax="47" xr10:uidLastSave="{00000000-0000-0000-0000-000000000000}"/>
  <bookViews>
    <workbookView xWindow="-120" yWindow="-120" windowWidth="21840" windowHeight="13140" xr2:uid="{C0A53241-9C54-4FB0-A359-77E1EBD89FD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17" i="1" l="1"/>
  <c r="F15" i="1"/>
  <c r="F13" i="1"/>
  <c r="F3" i="1"/>
  <c r="F4" i="1"/>
  <c r="F5" i="1"/>
  <c r="F6" i="1"/>
  <c r="F7" i="1"/>
  <c r="F8" i="1"/>
  <c r="F9" i="1"/>
  <c r="F10" i="1"/>
  <c r="F11" i="1" s="1"/>
  <c r="F12" i="1" s="1"/>
  <c r="F2" i="1"/>
</calcChain>
</file>

<file path=xl/sharedStrings.xml><?xml version="1.0" encoding="utf-8"?>
<sst xmlns="http://schemas.openxmlformats.org/spreadsheetml/2006/main" count="34" uniqueCount="34">
  <si>
    <t>PRODUCTO</t>
  </si>
  <si>
    <t>MARCA</t>
  </si>
  <si>
    <t>ARROZ</t>
  </si>
  <si>
    <t>TONDERITO</t>
  </si>
  <si>
    <t>LECHE</t>
  </si>
  <si>
    <t>GLORIA</t>
  </si>
  <si>
    <t>AZUCAR</t>
  </si>
  <si>
    <t>BLANCA</t>
  </si>
  <si>
    <t xml:space="preserve">FIDEOS </t>
  </si>
  <si>
    <t>MONITALIA</t>
  </si>
  <si>
    <t>ACIETE</t>
  </si>
  <si>
    <t>FLOR</t>
  </si>
  <si>
    <t>AVENA</t>
  </si>
  <si>
    <t>ATUN</t>
  </si>
  <si>
    <t>HARINA</t>
  </si>
  <si>
    <t>ASITO</t>
  </si>
  <si>
    <t>BL ANCA FLOR</t>
  </si>
  <si>
    <t xml:space="preserve">FLORIDA </t>
  </si>
  <si>
    <t>PAPEL HIGUENICO</t>
  </si>
  <si>
    <t>SUAVE</t>
  </si>
  <si>
    <t>PRECIO POR UNIDAD KG</t>
  </si>
  <si>
    <t xml:space="preserve">CANTIDAD </t>
  </si>
  <si>
    <t>SUBTOTAL</t>
  </si>
  <si>
    <t>TOTAL</t>
  </si>
  <si>
    <t>IGV</t>
  </si>
  <si>
    <t>subtotal</t>
  </si>
  <si>
    <t>DESCUNTO</t>
  </si>
  <si>
    <t xml:space="preserve">DESCUENTO EN </t>
  </si>
  <si>
    <t>&gt;=100</t>
  </si>
  <si>
    <t>&gt;=300</t>
  </si>
  <si>
    <t>&gt;=1000</t>
  </si>
  <si>
    <t>&gt;=2000</t>
  </si>
  <si>
    <t>TOTAL APAGAR</t>
  </si>
  <si>
    <t xml:space="preserve">TOTAL A PAGAR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</si>
</sst>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S/&quot;\ * #,##0.00_-;\-&quot;S/&quot;\ * #,##0.00_-;_-&quot;S/&quot;\ * &quot;-&quot;??_-;_-@_-"/>
  </numFmts>
  <fonts count="4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4.9989318521683403E-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44" fontId="0" fillId="0" borderId="1" xfId="0" applyNumberFormat="1" applyBorder="1"/>
    <xf numFmtId="0" fontId="2" fillId="2" borderId="1" xfId="0" applyFont="1" applyFill="1" applyBorder="1"/>
    <xf numFmtId="0" fontId="1" fillId="2" borderId="1" xfId="0" applyFont="1" applyFill="1" applyBorder="1"/>
    <xf numFmtId="44" fontId="0" fillId="3" borderId="1" xfId="0" applyNumberFormat="1" applyFill="1" applyBorder="1"/>
    <xf numFmtId="0" fontId="0" fillId="4" borderId="1" xfId="0" applyFill="1" applyBorder="1"/>
    <xf numFmtId="9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F5A2E-8FA6-41EF-94F0-9D3B65945221}">
  <dimension ref="B1:I17"/>
  <sheetViews>
    <sheetView tabSelected="1" workbookViewId="0">
      <selection activeCell="I5" sqref="I5"/>
    </sheetView>
  </sheetViews>
  <sheetFormatPr baseColWidth="10" defaultRowHeight="15" x14ac:dyDescent="0.25"/>
  <cols>
    <col min="2" max="2" width="17.140625" customWidth="1"/>
    <col min="3" max="3" width="13.42578125" customWidth="1"/>
    <col min="4" max="4" width="21.85546875" customWidth="1"/>
    <col min="5" max="5" width="14.85546875" customWidth="1"/>
    <col min="6" max="6" width="11.85546875" bestFit="1" customWidth="1"/>
    <col min="9" max="9" width="15.28515625" customWidth="1"/>
  </cols>
  <sheetData>
    <row r="1" spans="2:9" x14ac:dyDescent="0.25">
      <c r="B1" s="3" t="s">
        <v>0</v>
      </c>
      <c r="C1" s="4" t="s">
        <v>1</v>
      </c>
      <c r="D1" s="4" t="s">
        <v>20</v>
      </c>
      <c r="E1" s="3" t="s">
        <v>21</v>
      </c>
      <c r="F1" s="3" t="s">
        <v>22</v>
      </c>
    </row>
    <row r="2" spans="2:9" x14ac:dyDescent="0.25">
      <c r="B2" s="1" t="s">
        <v>2</v>
      </c>
      <c r="C2" s="1" t="s">
        <v>3</v>
      </c>
      <c r="D2" s="2">
        <v>4.2</v>
      </c>
      <c r="E2" s="1">
        <v>5</v>
      </c>
      <c r="F2" s="2">
        <f>D2*E2</f>
        <v>21</v>
      </c>
    </row>
    <row r="3" spans="2:9" x14ac:dyDescent="0.25">
      <c r="B3" s="1" t="s">
        <v>4</v>
      </c>
      <c r="C3" s="1" t="s">
        <v>5</v>
      </c>
      <c r="D3" s="2">
        <v>4</v>
      </c>
      <c r="E3" s="1">
        <v>7</v>
      </c>
      <c r="F3" s="2">
        <f t="shared" ref="F3:F10" si="0">D3*E3</f>
        <v>28</v>
      </c>
    </row>
    <row r="4" spans="2:9" x14ac:dyDescent="0.25">
      <c r="B4" s="1" t="s">
        <v>6</v>
      </c>
      <c r="C4" s="1" t="s">
        <v>7</v>
      </c>
      <c r="D4" s="2">
        <v>4.5999999999999996</v>
      </c>
      <c r="E4" s="1">
        <v>6</v>
      </c>
      <c r="F4" s="2">
        <f t="shared" si="0"/>
        <v>27.599999999999998</v>
      </c>
      <c r="H4" s="6" t="s">
        <v>26</v>
      </c>
      <c r="I4" s="1"/>
    </row>
    <row r="5" spans="2:9" x14ac:dyDescent="0.25">
      <c r="B5" s="1" t="s">
        <v>8</v>
      </c>
      <c r="C5" s="1" t="s">
        <v>9</v>
      </c>
      <c r="D5" s="2">
        <v>5</v>
      </c>
      <c r="E5" s="1">
        <v>8</v>
      </c>
      <c r="F5" s="2">
        <f t="shared" si="0"/>
        <v>40</v>
      </c>
      <c r="H5" s="1"/>
      <c r="I5" s="6" t="s">
        <v>27</v>
      </c>
    </row>
    <row r="6" spans="2:9" x14ac:dyDescent="0.25">
      <c r="B6" s="1" t="s">
        <v>10</v>
      </c>
      <c r="C6" s="1" t="s">
        <v>11</v>
      </c>
      <c r="D6" s="2">
        <v>12</v>
      </c>
      <c r="E6" s="1">
        <v>4</v>
      </c>
      <c r="F6" s="2">
        <f t="shared" si="0"/>
        <v>48</v>
      </c>
      <c r="H6" s="1" t="s">
        <v>28</v>
      </c>
      <c r="I6" s="7">
        <v>0.04</v>
      </c>
    </row>
    <row r="7" spans="2:9" x14ac:dyDescent="0.25">
      <c r="B7" s="1" t="s">
        <v>14</v>
      </c>
      <c r="C7" s="1" t="s">
        <v>16</v>
      </c>
      <c r="D7" s="2">
        <v>7.7</v>
      </c>
      <c r="E7" s="1">
        <v>5</v>
      </c>
      <c r="F7" s="2">
        <f t="shared" si="0"/>
        <v>38.5</v>
      </c>
      <c r="H7" s="1" t="s">
        <v>29</v>
      </c>
      <c r="I7" s="7">
        <v>0.06</v>
      </c>
    </row>
    <row r="8" spans="2:9" x14ac:dyDescent="0.25">
      <c r="B8" s="1" t="s">
        <v>12</v>
      </c>
      <c r="C8" s="1" t="s">
        <v>15</v>
      </c>
      <c r="D8" s="2">
        <v>6.2</v>
      </c>
      <c r="E8" s="1">
        <v>8</v>
      </c>
      <c r="F8" s="2">
        <f t="shared" si="0"/>
        <v>49.6</v>
      </c>
      <c r="H8" s="1" t="s">
        <v>30</v>
      </c>
      <c r="I8" s="7">
        <v>7.0000000000000007E-2</v>
      </c>
    </row>
    <row r="9" spans="2:9" x14ac:dyDescent="0.25">
      <c r="B9" s="1" t="s">
        <v>13</v>
      </c>
      <c r="C9" s="1" t="s">
        <v>17</v>
      </c>
      <c r="D9" s="2">
        <v>5.9</v>
      </c>
      <c r="E9" s="1">
        <v>5</v>
      </c>
      <c r="F9" s="2">
        <f t="shared" si="0"/>
        <v>29.5</v>
      </c>
      <c r="H9" s="1" t="s">
        <v>31</v>
      </c>
      <c r="I9" s="7">
        <v>0.08</v>
      </c>
    </row>
    <row r="10" spans="2:9" x14ac:dyDescent="0.25">
      <c r="B10" s="1" t="s">
        <v>18</v>
      </c>
      <c r="C10" s="1" t="s">
        <v>19</v>
      </c>
      <c r="D10" s="2">
        <v>7</v>
      </c>
      <c r="E10" s="1">
        <v>4</v>
      </c>
      <c r="F10" s="2">
        <f t="shared" si="0"/>
        <v>28</v>
      </c>
    </row>
    <row r="11" spans="2:9" x14ac:dyDescent="0.25">
      <c r="E11" s="6" t="s">
        <v>23</v>
      </c>
      <c r="F11" s="5">
        <f>SUM(F2:F10)</f>
        <v>310.2</v>
      </c>
    </row>
    <row r="12" spans="2:9" x14ac:dyDescent="0.25">
      <c r="E12" s="6" t="s">
        <v>25</v>
      </c>
      <c r="F12" s="5">
        <f>F11/1.18</f>
        <v>262.88135593220341</v>
      </c>
    </row>
    <row r="13" spans="2:9" x14ac:dyDescent="0.25">
      <c r="E13" s="6" t="s">
        <v>24</v>
      </c>
      <c r="F13" s="5">
        <f>F12*0.18</f>
        <v>47.318644067796612</v>
      </c>
    </row>
    <row r="15" spans="2:9" x14ac:dyDescent="0.25">
      <c r="E15" s="6" t="s">
        <v>32</v>
      </c>
      <c r="F15" s="1">
        <f>IF(F11&gt;=300,F11*(1-I7),IF(F11&gt;=100,F11*(1-I6),F11))</f>
        <v>291.58799999999997</v>
      </c>
    </row>
    <row r="17" spans="5:6" x14ac:dyDescent="0.25">
      <c r="E17" s="6" t="s">
        <v>33</v>
      </c>
      <c r="F17" s="1">
        <f>IF(F11&lt;=300,F11*(1-I6),IF(F11&gt;=100,F11*(1-I7),F11=IF(F11&gt;=1000,F11*(1-I8),IF(F11&gt;=2000,F11*(1-I9),F11))))</f>
        <v>291.58799999999997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Lab-05</dc:creator>
  <cp:lastModifiedBy>Lab-05</cp:lastModifiedBy>
  <dcterms:created xsi:type="dcterms:W3CDTF">2026-10-05T15:08:53Z</dcterms:created>
  <dcterms:modified xsi:type="dcterms:W3CDTF">2026-10-05T16:56:59Z</dcterms:modified>
</cp:coreProperties>
</file>